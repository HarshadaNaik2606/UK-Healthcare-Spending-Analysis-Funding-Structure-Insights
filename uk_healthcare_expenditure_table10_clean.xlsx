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ada\Downloads\"/>
    </mc:Choice>
  </mc:AlternateContent>
  <xr:revisionPtr revIDLastSave="0" documentId="13_ncr:1_{635DD898-2793-47E7-8CC2-724D4A4AAD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Exclusive insight" sheetId="2" r:id="rId2"/>
  </sheets>
  <calcPr calcId="191029"/>
</workbook>
</file>

<file path=xl/calcChain.xml><?xml version="1.0" encoding="utf-8"?>
<calcChain xmlns="http://schemas.openxmlformats.org/spreadsheetml/2006/main">
  <c r="J22" i="2" l="1"/>
  <c r="E4" i="2"/>
  <c r="E11" i="2"/>
  <c r="E13" i="2"/>
  <c r="E6" i="2"/>
</calcChain>
</file>

<file path=xl/sharedStrings.xml><?xml version="1.0" encoding="utf-8"?>
<sst xmlns="http://schemas.openxmlformats.org/spreadsheetml/2006/main" count="18" uniqueCount="18">
  <si>
    <t>year</t>
  </si>
  <si>
    <t>total_2015</t>
  </si>
  <si>
    <t>total_2014</t>
  </si>
  <si>
    <t>total_revision</t>
  </si>
  <si>
    <t>public_2015</t>
  </si>
  <si>
    <t>public_2014</t>
  </si>
  <si>
    <t>public_revision</t>
  </si>
  <si>
    <t>private_2015</t>
  </si>
  <si>
    <t>private_2014</t>
  </si>
  <si>
    <t>private_revision</t>
  </si>
  <si>
    <t>public_share_pct_2015</t>
  </si>
  <si>
    <t>private_share_pct_2015</t>
  </si>
  <si>
    <t>total_yoy_growth_pct_2015</t>
  </si>
  <si>
    <t>public_yoy_growth_pct_2015</t>
  </si>
  <si>
    <t>private_yoy_growth_pct_2015</t>
  </si>
  <si>
    <t>B) Public Share in 2012</t>
  </si>
  <si>
    <t>C) Highest YoY Growth</t>
  </si>
  <si>
    <t>A) Latest Year 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</si>
</sst>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2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zoomScale="83" zoomScaleNormal="83" workbookViewId="0">
      <selection activeCell="K11" sqref="K11"/>
    </sheetView>
  </sheetViews>
  <sheetFormatPr defaultRowHeight="14.4" x14ac:dyDescent="0.3"/>
  <cols>
    <col min="2" max="2" width="10.109375" customWidth="1"/>
    <col min="3" max="3" width="9.6640625" customWidth="1"/>
    <col min="4" max="4" width="12.21875" customWidth="1"/>
    <col min="5" max="5" width="11.21875" customWidth="1"/>
    <col min="6" max="6" width="12.88671875" customWidth="1"/>
    <col min="7" max="7" width="14.6640625" customWidth="1"/>
    <col min="8" max="8" width="11.5546875" customWidth="1"/>
    <col min="9" max="9" width="13" customWidth="1"/>
    <col min="10" max="10" width="14.77734375" customWidth="1"/>
    <col min="11" max="11" width="22" customWidth="1"/>
    <col min="12" max="12" width="21.6640625" customWidth="1"/>
    <col min="13" max="13" width="26.21875" customWidth="1"/>
    <col min="14" max="14" width="25" customWidth="1"/>
    <col min="15" max="15" width="25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1997</v>
      </c>
      <c r="B2">
        <v>54.9</v>
      </c>
      <c r="C2">
        <v>54.6</v>
      </c>
      <c r="D2">
        <v>0.3</v>
      </c>
      <c r="E2">
        <v>44.1</v>
      </c>
      <c r="F2">
        <v>43.9</v>
      </c>
      <c r="G2">
        <v>0.2</v>
      </c>
      <c r="H2">
        <v>10.8</v>
      </c>
      <c r="I2">
        <v>10.7</v>
      </c>
      <c r="J2">
        <v>0.1</v>
      </c>
      <c r="K2">
        <v>80.327868852459019</v>
      </c>
      <c r="L2">
        <v>19.672131147540991</v>
      </c>
    </row>
    <row r="3" spans="1:15" x14ac:dyDescent="0.3">
      <c r="A3">
        <v>1998</v>
      </c>
      <c r="B3">
        <v>58.6</v>
      </c>
      <c r="C3">
        <v>58.3</v>
      </c>
      <c r="D3">
        <v>0.3</v>
      </c>
      <c r="E3">
        <v>47.1</v>
      </c>
      <c r="F3">
        <v>46.8</v>
      </c>
      <c r="G3">
        <v>0.2</v>
      </c>
      <c r="H3">
        <v>11.5</v>
      </c>
      <c r="I3">
        <v>11.4</v>
      </c>
      <c r="J3">
        <v>0.1</v>
      </c>
      <c r="K3">
        <v>80.3754266211604</v>
      </c>
      <c r="L3">
        <v>19.624573378839589</v>
      </c>
      <c r="M3">
        <v>6.7395264116575593</v>
      </c>
      <c r="N3">
        <v>6.8027210884353817</v>
      </c>
      <c r="O3">
        <v>6.4814814814814659</v>
      </c>
    </row>
    <row r="4" spans="1:15" x14ac:dyDescent="0.3">
      <c r="A4">
        <v>1999</v>
      </c>
      <c r="B4">
        <v>64.099999999999994</v>
      </c>
      <c r="C4">
        <v>63.7</v>
      </c>
      <c r="D4">
        <v>0.3</v>
      </c>
      <c r="E4">
        <v>51.6</v>
      </c>
      <c r="F4">
        <v>51.4</v>
      </c>
      <c r="G4">
        <v>0.2</v>
      </c>
      <c r="H4">
        <v>12.4</v>
      </c>
      <c r="I4">
        <v>12.4</v>
      </c>
      <c r="J4">
        <v>0.1</v>
      </c>
      <c r="K4">
        <v>80.499219968798769</v>
      </c>
      <c r="L4">
        <v>19.344773790951638</v>
      </c>
      <c r="M4">
        <v>9.3856655290102342</v>
      </c>
      <c r="N4">
        <v>9.554140127388532</v>
      </c>
      <c r="O4">
        <v>7.8260869565217384</v>
      </c>
    </row>
    <row r="5" spans="1:15" x14ac:dyDescent="0.3">
      <c r="A5">
        <v>2000</v>
      </c>
      <c r="B5">
        <v>68.5</v>
      </c>
      <c r="C5">
        <v>68.2</v>
      </c>
      <c r="D5">
        <v>0.3</v>
      </c>
      <c r="E5">
        <v>54.5</v>
      </c>
      <c r="F5">
        <v>54.2</v>
      </c>
      <c r="G5">
        <v>0.3</v>
      </c>
      <c r="H5">
        <v>14</v>
      </c>
      <c r="I5">
        <v>14</v>
      </c>
      <c r="J5">
        <v>0</v>
      </c>
      <c r="K5">
        <v>79.56204379562044</v>
      </c>
      <c r="L5">
        <v>20.43795620437956</v>
      </c>
      <c r="M5">
        <v>6.8642745709828423</v>
      </c>
      <c r="N5">
        <v>5.6201550387596777</v>
      </c>
      <c r="O5">
        <v>12.9032258064516</v>
      </c>
    </row>
    <row r="6" spans="1:15" x14ac:dyDescent="0.3">
      <c r="A6">
        <v>2001</v>
      </c>
      <c r="B6">
        <v>75.400000000000006</v>
      </c>
      <c r="C6">
        <v>74.3</v>
      </c>
      <c r="D6">
        <v>1.1000000000000001</v>
      </c>
      <c r="E6">
        <v>59.5</v>
      </c>
      <c r="F6">
        <v>59.1</v>
      </c>
      <c r="G6">
        <v>0.4</v>
      </c>
      <c r="H6">
        <v>15.9</v>
      </c>
      <c r="I6">
        <v>15.2</v>
      </c>
      <c r="J6">
        <v>0.7</v>
      </c>
      <c r="K6">
        <v>78.912466843501321</v>
      </c>
      <c r="L6">
        <v>21.087533156498669</v>
      </c>
      <c r="M6">
        <v>10.072992700729939</v>
      </c>
      <c r="N6">
        <v>9.174311926605494</v>
      </c>
      <c r="O6">
        <v>13.571428571428569</v>
      </c>
    </row>
    <row r="7" spans="1:15" x14ac:dyDescent="0.3">
      <c r="A7">
        <v>2002</v>
      </c>
      <c r="B7">
        <v>81.8</v>
      </c>
      <c r="C7">
        <v>81.400000000000006</v>
      </c>
      <c r="D7">
        <v>0.5</v>
      </c>
      <c r="E7">
        <v>65.3</v>
      </c>
      <c r="F7">
        <v>64.8</v>
      </c>
      <c r="G7">
        <v>0.5</v>
      </c>
      <c r="H7">
        <v>16.5</v>
      </c>
      <c r="I7">
        <v>16.5</v>
      </c>
      <c r="J7">
        <v>0</v>
      </c>
      <c r="K7">
        <v>79.828850855745728</v>
      </c>
      <c r="L7">
        <v>20.171149144254279</v>
      </c>
      <c r="M7">
        <v>8.4880636604774509</v>
      </c>
      <c r="N7">
        <v>9.7478991596638522</v>
      </c>
      <c r="O7">
        <v>3.773584905660377</v>
      </c>
    </row>
    <row r="8" spans="1:15" x14ac:dyDescent="0.3">
      <c r="A8">
        <v>2003</v>
      </c>
      <c r="B8">
        <v>89.7</v>
      </c>
      <c r="C8">
        <v>89.3</v>
      </c>
      <c r="D8">
        <v>0.4</v>
      </c>
      <c r="E8">
        <v>71.3</v>
      </c>
      <c r="F8">
        <v>70.8</v>
      </c>
      <c r="G8">
        <v>0.5</v>
      </c>
      <c r="H8">
        <v>18.399999999999999</v>
      </c>
      <c r="I8">
        <v>18.5</v>
      </c>
      <c r="J8">
        <v>-0.1</v>
      </c>
      <c r="K8">
        <v>79.487179487179489</v>
      </c>
      <c r="L8">
        <v>20.512820512820511</v>
      </c>
      <c r="M8">
        <v>9.6577017114914518</v>
      </c>
      <c r="N8">
        <v>9.1883614088820842</v>
      </c>
      <c r="O8">
        <v>11.5151515151515</v>
      </c>
    </row>
    <row r="9" spans="1:15" x14ac:dyDescent="0.3">
      <c r="A9">
        <v>2004</v>
      </c>
      <c r="B9">
        <v>96.8</v>
      </c>
      <c r="C9">
        <v>96</v>
      </c>
      <c r="D9">
        <v>0.8</v>
      </c>
      <c r="E9">
        <v>78.599999999999994</v>
      </c>
      <c r="F9">
        <v>78.099999999999994</v>
      </c>
      <c r="G9">
        <v>0.6</v>
      </c>
      <c r="H9">
        <v>18.2</v>
      </c>
      <c r="I9">
        <v>17.899999999999999</v>
      </c>
      <c r="J9">
        <v>0.3</v>
      </c>
      <c r="K9">
        <v>81.198347107438025</v>
      </c>
      <c r="L9">
        <v>18.801652892561979</v>
      </c>
      <c r="M9">
        <v>7.9152731326644243</v>
      </c>
      <c r="N9">
        <v>10.23842917251052</v>
      </c>
      <c r="O9">
        <v>-1.0869565217391239</v>
      </c>
    </row>
    <row r="10" spans="1:15" x14ac:dyDescent="0.3">
      <c r="A10">
        <v>2005</v>
      </c>
      <c r="B10">
        <v>105.1</v>
      </c>
      <c r="C10">
        <v>103.8</v>
      </c>
      <c r="D10">
        <v>1.4</v>
      </c>
      <c r="E10">
        <v>85</v>
      </c>
      <c r="F10">
        <v>84.4</v>
      </c>
      <c r="G10">
        <v>0.6</v>
      </c>
      <c r="H10">
        <v>20.100000000000001</v>
      </c>
      <c r="I10">
        <v>19.399999999999999</v>
      </c>
      <c r="J10">
        <v>0.7</v>
      </c>
      <c r="K10">
        <v>80.875356803044724</v>
      </c>
      <c r="L10">
        <v>19.124643196955279</v>
      </c>
      <c r="M10">
        <v>8.5743801652892628</v>
      </c>
      <c r="N10">
        <v>8.1424936386768501</v>
      </c>
      <c r="O10">
        <v>10.43956043956045</v>
      </c>
    </row>
    <row r="11" spans="1:15" x14ac:dyDescent="0.3">
      <c r="A11">
        <v>2006</v>
      </c>
      <c r="B11">
        <v>112.9</v>
      </c>
      <c r="C11">
        <v>111.8</v>
      </c>
      <c r="D11">
        <v>1</v>
      </c>
      <c r="E11">
        <v>92.1</v>
      </c>
      <c r="F11">
        <v>91.4</v>
      </c>
      <c r="G11">
        <v>0.7</v>
      </c>
      <c r="H11">
        <v>20.7</v>
      </c>
      <c r="I11">
        <v>20.5</v>
      </c>
      <c r="J11">
        <v>0.3</v>
      </c>
      <c r="K11">
        <v>81.57661647475642</v>
      </c>
      <c r="L11">
        <v>18.334809565987602</v>
      </c>
      <c r="M11">
        <v>7.4215033301617606</v>
      </c>
      <c r="N11">
        <v>8.3529411764705852</v>
      </c>
      <c r="O11">
        <v>2.9850746268656581</v>
      </c>
    </row>
    <row r="12" spans="1:15" x14ac:dyDescent="0.3">
      <c r="A12">
        <v>2007</v>
      </c>
      <c r="B12">
        <v>120.2</v>
      </c>
      <c r="C12">
        <v>119.5</v>
      </c>
      <c r="D12">
        <v>0.6</v>
      </c>
      <c r="E12">
        <v>97</v>
      </c>
      <c r="F12">
        <v>96.2</v>
      </c>
      <c r="G12">
        <v>0.8</v>
      </c>
      <c r="H12">
        <v>23.2</v>
      </c>
      <c r="I12">
        <v>23.3</v>
      </c>
      <c r="J12">
        <v>-0.1</v>
      </c>
      <c r="K12">
        <v>80.698835274542418</v>
      </c>
      <c r="L12">
        <v>19.301164725457571</v>
      </c>
      <c r="M12">
        <v>6.465899025686439</v>
      </c>
      <c r="N12">
        <v>5.3203040173724236</v>
      </c>
      <c r="O12">
        <v>12.077294685990349</v>
      </c>
    </row>
    <row r="13" spans="1:15" x14ac:dyDescent="0.3">
      <c r="A13">
        <v>2008</v>
      </c>
      <c r="B13">
        <v>129.4</v>
      </c>
      <c r="C13">
        <v>128.4</v>
      </c>
      <c r="D13">
        <v>1</v>
      </c>
      <c r="E13">
        <v>105.6</v>
      </c>
      <c r="F13">
        <v>104.6</v>
      </c>
      <c r="G13">
        <v>1</v>
      </c>
      <c r="H13">
        <v>23.8</v>
      </c>
      <c r="I13">
        <v>23.8</v>
      </c>
      <c r="J13">
        <v>0</v>
      </c>
      <c r="K13">
        <v>81.607418856259656</v>
      </c>
      <c r="L13">
        <v>18.39258114374034</v>
      </c>
      <c r="M13">
        <v>7.6539101497504092</v>
      </c>
      <c r="N13">
        <v>8.8659793814432888</v>
      </c>
      <c r="O13">
        <v>2.5862068965517349</v>
      </c>
    </row>
    <row r="14" spans="1:15" x14ac:dyDescent="0.3">
      <c r="A14">
        <v>2009</v>
      </c>
      <c r="B14">
        <v>139</v>
      </c>
      <c r="C14">
        <v>137.9</v>
      </c>
      <c r="D14">
        <v>1.1000000000000001</v>
      </c>
      <c r="E14">
        <v>115.7</v>
      </c>
      <c r="F14">
        <v>114.7</v>
      </c>
      <c r="G14">
        <v>1</v>
      </c>
      <c r="H14">
        <v>23.3</v>
      </c>
      <c r="I14">
        <v>23.2</v>
      </c>
      <c r="J14">
        <v>0.1</v>
      </c>
      <c r="K14">
        <v>83.237410071942449</v>
      </c>
      <c r="L14">
        <v>16.762589928057551</v>
      </c>
      <c r="M14">
        <v>7.4188562596599672</v>
      </c>
      <c r="N14">
        <v>9.5643939393939448</v>
      </c>
      <c r="O14">
        <v>-2.100840336134457</v>
      </c>
    </row>
    <row r="15" spans="1:15" x14ac:dyDescent="0.3">
      <c r="A15">
        <v>2010</v>
      </c>
      <c r="B15">
        <v>141.19999999999999</v>
      </c>
      <c r="C15">
        <v>139.30000000000001</v>
      </c>
      <c r="D15">
        <v>2</v>
      </c>
      <c r="E15">
        <v>118</v>
      </c>
      <c r="F15">
        <v>116.9</v>
      </c>
      <c r="G15">
        <v>1.1000000000000001</v>
      </c>
      <c r="H15">
        <v>23.3</v>
      </c>
      <c r="I15">
        <v>22.3</v>
      </c>
      <c r="J15">
        <v>0.9</v>
      </c>
      <c r="K15">
        <v>83.569405099150146</v>
      </c>
      <c r="L15">
        <v>16.501416430594901</v>
      </c>
      <c r="M15">
        <v>1.582733812949622</v>
      </c>
      <c r="N15">
        <v>1.9878997407087211</v>
      </c>
      <c r="O15">
        <v>0</v>
      </c>
    </row>
    <row r="16" spans="1:15" x14ac:dyDescent="0.3">
      <c r="A16">
        <v>2011</v>
      </c>
      <c r="B16">
        <v>143.5</v>
      </c>
      <c r="C16">
        <v>141.9</v>
      </c>
      <c r="D16">
        <v>1.7</v>
      </c>
      <c r="E16">
        <v>119.3</v>
      </c>
      <c r="F16">
        <v>118.4</v>
      </c>
      <c r="G16">
        <v>1</v>
      </c>
      <c r="H16">
        <v>24.2</v>
      </c>
      <c r="I16">
        <v>23.5</v>
      </c>
      <c r="J16">
        <v>0.7</v>
      </c>
      <c r="K16">
        <v>83.135888501742158</v>
      </c>
      <c r="L16">
        <v>16.864111498257842</v>
      </c>
      <c r="M16">
        <v>1.6288951841359809</v>
      </c>
      <c r="N16">
        <v>1.101694915254225</v>
      </c>
      <c r="O16">
        <v>3.8626609442059978</v>
      </c>
    </row>
    <row r="17" spans="1:15" x14ac:dyDescent="0.3">
      <c r="A17">
        <v>2012</v>
      </c>
      <c r="B17">
        <v>146.69999999999999</v>
      </c>
      <c r="C17">
        <v>144.5</v>
      </c>
      <c r="D17">
        <v>2.2000000000000002</v>
      </c>
      <c r="E17">
        <v>121.6</v>
      </c>
      <c r="F17">
        <v>121.3</v>
      </c>
      <c r="G17">
        <v>0.3</v>
      </c>
      <c r="H17">
        <v>25.1</v>
      </c>
      <c r="I17">
        <v>23.2</v>
      </c>
      <c r="J17">
        <v>1.9</v>
      </c>
      <c r="K17">
        <v>82.890252215405596</v>
      </c>
      <c r="L17">
        <v>17.109747784594411</v>
      </c>
      <c r="M17">
        <v>2.2299651567944112</v>
      </c>
      <c r="N17">
        <v>1.927912824811395</v>
      </c>
      <c r="O17">
        <v>3.7190082644628091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D863-E457-4310-AC31-E5035AB00E8E}">
  <dimension ref="D4:J22"/>
  <sheetViews>
    <sheetView tabSelected="1" topLeftCell="A3" workbookViewId="0">
      <selection activeCell="I22" sqref="I22"/>
    </sheetView>
  </sheetViews>
  <sheetFormatPr defaultRowHeight="14.4" x14ac:dyDescent="0.3"/>
  <cols>
    <col min="4" max="4" width="22.33203125" customWidth="1"/>
    <col min="10" max="10" width="9.5546875" bestFit="1" customWidth="1"/>
  </cols>
  <sheetData>
    <row r="4" spans="4:7" x14ac:dyDescent="0.3">
      <c r="D4" t="s">
        <v>17</v>
      </c>
      <c r="E4">
        <f>MAX(Sheet1!A:A)</f>
        <v>2012</v>
      </c>
    </row>
    <row r="6" spans="4:7" x14ac:dyDescent="0.3">
      <c r="E6">
        <f>VLOOKUP(2012,Sheet1!A:B,2,FALSE)</f>
        <v>146.69999999999999</v>
      </c>
    </row>
    <row r="11" spans="4:7" x14ac:dyDescent="0.3">
      <c r="D11" t="s">
        <v>15</v>
      </c>
      <c r="E11" s="3">
        <f>VLOOKUP(2012,Sheet1!A:K,11,FALSE)</f>
        <v>82.890252215405596</v>
      </c>
    </row>
    <row r="13" spans="4:7" x14ac:dyDescent="0.3">
      <c r="D13" t="s">
        <v>16</v>
      </c>
      <c r="E13">
        <f>MAX(Sheet1!J:J)</f>
        <v>1.9</v>
      </c>
    </row>
    <row r="15" spans="4:7" x14ac:dyDescent="0.3">
      <c r="G15" s="2"/>
    </row>
    <row r="22" spans="10:10" x14ac:dyDescent="0.3">
      <c r="J22" s="4">
        <f>MAX(Sheet1!M3:M17)</f>
        <v>10.072992700729939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Exclusive 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Harshada Sanjay Naik</cp:lastModifiedBy>
  <dcterms:created xsi:type="dcterms:W3CDTF">2026-03-01T20:45:38Z</dcterms:created>
  <dcterms:modified xsi:type="dcterms:W3CDTF">2026-03-16T17:14:52Z</dcterms:modified>
</cp:coreProperties>
</file>